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nsitivit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From Ian.</t>
        </r>
      </text>
    </comment>
    <comment ref="A7" authorId="0">
      <text>
        <r>
          <rPr>
            <sz val="10"/>
            <rFont val="Arial"/>
            <family val="2"/>
          </rPr>
          <t xml:space="preserve">AG203-63G datasheet NF, as used on uDST; assumed same part on uDSR.</t>
        </r>
      </text>
    </comment>
    <comment ref="A8" authorId="0">
      <text>
        <r>
          <rPr>
            <sz val="10"/>
            <rFont val="Arial"/>
            <family val="2"/>
          </rPr>
          <t xml:space="preserve">4:1 impedance = 6 dB, 16:1 = 12 dB. Pure voltage step-up: ADC input ~100 kΩ, 50 Ω on the primary only (from Ian). Column D = uDSR with uDST's 4:1 transformer, for comparison.</t>
        </r>
      </text>
    </comment>
    <comment ref="A9" authorId="0">
      <text>
        <r>
          <rPr>
            <sz val="10"/>
            <rFont val="Arial"/>
            <family val="2"/>
          </rPr>
          <t xml:space="preserve">Assumption (agreed default).</t>
        </r>
      </text>
    </comment>
    <comment ref="A10" authorId="0">
      <text>
        <r>
          <rPr>
            <sz val="10"/>
            <rFont val="Arial"/>
            <family val="2"/>
          </rPr>
          <t xml:space="preserve">Assumption (agreed default).</t>
        </r>
      </text>
    </comment>
    <comment ref="A11" authorId="0">
      <text>
        <r>
          <rPr>
            <sz val="10"/>
            <rFont val="Arial"/>
            <family val="2"/>
          </rPr>
          <t xml:space="preserve">Informational only — SNR below is what the maths uses.</t>
        </r>
      </text>
    </comment>
    <comment ref="A12" authorId="0">
      <text>
        <r>
          <rPr>
            <sz val="10"/>
            <rFont val="Arial"/>
            <family val="2"/>
          </rPr>
          <t xml:space="preserve">From Ian.</t>
        </r>
      </text>
    </comment>
    <comment ref="A13" authorId="0">
      <text>
        <r>
          <rPr>
            <sz val="10"/>
            <rFont val="Arial"/>
            <family val="2"/>
          </rPr>
          <t xml:space="preserve">From Ian.</t>
        </r>
      </text>
    </comment>
    <comment ref="A27" authorId="0">
      <text>
        <r>
          <rPr>
            <sz val="10"/>
            <rFont val="Arial"/>
            <family val="2"/>
          </rPr>
          <t xml:space="preserve">Power the full-scale voltage would deliver into 50 Ω — keeps every level in consistent 50 Ω-equivalent units along the chain.</t>
        </r>
      </text>
    </comment>
    <comment ref="A35" authorId="0">
      <text>
        <r>
          <rPr>
            <sz val="10"/>
            <rFont val="Arial"/>
            <family val="2"/>
          </rPr>
          <t xml:space="preserve">Positive = ADC-limited.</t>
        </r>
      </text>
    </comment>
    <comment ref="A43" authorId="0">
      <text>
        <r>
          <rPr>
            <sz val="10"/>
            <rFont val="Arial"/>
            <family val="2"/>
          </rPr>
          <t xml:space="preserve">Display bin excludes window ENBW (Hann adds ~1.8 dB).</t>
        </r>
      </text>
    </comment>
    <comment ref="A58" authorId="0">
      <text>
        <r>
          <rPr>
            <sz val="10"/>
            <rFont val="Arial"/>
            <family val="2"/>
          </rPr>
          <t xml:space="preserve">Approximation from ITU-R P.372 galactic noise, Fa ≈ 52 − 23·log10(f MHz). Ignores antenna/feedline loss, which reduces the margin.</t>
        </r>
      </text>
    </comment>
  </commentList>
</comments>
</file>

<file path=xl/sharedStrings.xml><?xml version="1.0" encoding="utf-8"?>
<sst xmlns="http://schemas.openxmlformats.org/spreadsheetml/2006/main" count="122" uniqueCount="76">
  <si>
    <t xml:space="preserve">uDST vs uDSR receiver sensitivity</t>
  </si>
  <si>
    <t xml:space="preserve">Antenna-referred, 50 Ω, 290 K. Blue cells are inputs — edit them and everything recalculates.</t>
  </si>
  <si>
    <t xml:space="preserve">Inputs</t>
  </si>
  <si>
    <t xml:space="preserve">Parameter</t>
  </si>
  <si>
    <t xml:space="preserve">uDST</t>
  </si>
  <si>
    <t xml:space="preserve">uDSR</t>
  </si>
  <si>
    <t xml:space="preserve">uDSR (4:1 alt)</t>
  </si>
  <si>
    <t xml:space="preserve">Units / note</t>
  </si>
  <si>
    <t xml:space="preserve">MMIC gain (AG203-63G)</t>
  </si>
  <si>
    <t xml:space="preserve">dB</t>
  </si>
  <si>
    <t xml:space="preserve">MMIC noise figure</t>
  </si>
  <si>
    <t xml:space="preserve">Transformer voltage gain</t>
  </si>
  <si>
    <t xml:space="preserve">Filter loss ahead of MMIC</t>
  </si>
  <si>
    <t xml:space="preserve">Transformer loss</t>
  </si>
  <si>
    <t xml:space="preserve">ADC resolution</t>
  </si>
  <si>
    <t xml:space="preserve">bits</t>
  </si>
  <si>
    <t xml:space="preserve">ADC SNR (dBFS, over Nyquist)</t>
  </si>
  <si>
    <t xml:space="preserve">dBFS</t>
  </si>
  <si>
    <t xml:space="preserve">ADC full scale (differential)</t>
  </si>
  <si>
    <t xml:space="preserve">Vpp</t>
  </si>
  <si>
    <t xml:space="preserve">ADC / FPGA clock</t>
  </si>
  <si>
    <t xml:space="preserve">MHz</t>
  </si>
  <si>
    <t xml:space="preserve">CIC decimation</t>
  </si>
  <si>
    <t xml:space="preserve">FIR decimation</t>
  </si>
  <si>
    <t xml:space="preserve">Display FFT size</t>
  </si>
  <si>
    <t xml:space="preserve">points</t>
  </si>
  <si>
    <t xml:space="preserve">Reference impedance</t>
  </si>
  <si>
    <t xml:space="preserve">Ω</t>
  </si>
  <si>
    <t xml:space="preserve">Thermal noise kT (290 K)</t>
  </si>
  <si>
    <t xml:space="preserve">dBm/Hz</t>
  </si>
  <si>
    <t xml:space="preserve">S9 level</t>
  </si>
  <si>
    <t xml:space="preserve">dBm</t>
  </si>
  <si>
    <t xml:space="preserve">Gain, full scale and noise</t>
  </si>
  <si>
    <t xml:space="preserve">I/Q output rate</t>
  </si>
  <si>
    <t xml:space="preserve">Hz</t>
  </si>
  <si>
    <t xml:space="preserve">Net voltage gain, antenna → ADC</t>
  </si>
  <si>
    <t xml:space="preserve">ADC full scale, sine</t>
  </si>
  <si>
    <t xml:space="preserve">Vrms</t>
  </si>
  <si>
    <t xml:space="preserve">ADC full scale (50 Ω-equivalent)</t>
  </si>
  <si>
    <t xml:space="preserve">Full scale at antenna</t>
  </si>
  <si>
    <t xml:space="preserve">Full scale relative to S9</t>
  </si>
  <si>
    <t xml:space="preserve">dB over S9</t>
  </si>
  <si>
    <t xml:space="preserve">ADC Nyquist bandwidth</t>
  </si>
  <si>
    <t xml:space="preserve">ADC noise density</t>
  </si>
  <si>
    <t xml:space="preserve">dBFS/Hz</t>
  </si>
  <si>
    <t xml:space="preserve">ADC noise at ADC input</t>
  </si>
  <si>
    <t xml:space="preserve">Front-end NF (filter + MMIC)</t>
  </si>
  <si>
    <t xml:space="preserve">Analog chain noise at ADC input</t>
  </si>
  <si>
    <t xml:space="preserve">ADC noise above analog noise</t>
  </si>
  <si>
    <t xml:space="preserve">Total noise at ADC input</t>
  </si>
  <si>
    <t xml:space="preserve">Noise floor at antenna</t>
  </si>
  <si>
    <t xml:space="preserve">System noise figure</t>
  </si>
  <si>
    <t xml:space="preserve">MDS (noise power in bandwidth, antenna-referred, 0 dB SNR)</t>
  </si>
  <si>
    <t xml:space="preserve">dBm  (bandwidth in column E below)</t>
  </si>
  <si>
    <t xml:space="preserve">MDS — 1 Hz</t>
  </si>
  <si>
    <t xml:space="preserve">MDS — Display bin (rate / FFT size)</t>
  </si>
  <si>
    <t xml:space="preserve">MDS — 500 Hz CW</t>
  </si>
  <si>
    <t xml:space="preserve">MDS — 2.4 kHz SSB</t>
  </si>
  <si>
    <t xml:space="preserve">MDS 2.4 kHz as voltage</t>
  </si>
  <si>
    <t xml:space="preserve">µV (50 Ω)</t>
  </si>
  <si>
    <t xml:space="preserve">2.4 kHz SSB at 10 dB SNR</t>
  </si>
  <si>
    <t xml:space="preserve">Dynamic range in channel (full-scale sine to noise floor)</t>
  </si>
  <si>
    <t xml:space="preserve">Dynamic range — 1 Hz</t>
  </si>
  <si>
    <t xml:space="preserve">Dynamic range — Display bin (rate / FFT size)</t>
  </si>
  <si>
    <t xml:space="preserve">Dynamic range — 500 Hz CW</t>
  </si>
  <si>
    <t xml:space="preserve">Dynamic range — 2.4 kHz SSB</t>
  </si>
  <si>
    <t xml:space="preserve">10 m band-noise check</t>
  </si>
  <si>
    <t xml:space="preserve">Galactic noise Fa at 28 MHz</t>
  </si>
  <si>
    <t xml:space="preserve">Band noise above receiver noise</t>
  </si>
  <si>
    <t xml:space="preserve">Receiver noise added to band noise</t>
  </si>
  <si>
    <t xml:space="preserve">Notes</t>
  </si>
  <si>
    <t xml:space="preserve">• Both radios are ADC-limited: extra analog gain still improves NF, but each dB of gain costs a dB of headroom.</t>
  </si>
  <si>
    <t xml:space="preserve">• The 16:1 transformer on uDSR buys ~5.5 dB of NF for 6 dB of headroom versus the 4:1 (compare columns C and D).</t>
  </si>
  <si>
    <t xml:space="preserve">• Below ~14 MHz, band noise swamps both receivers.</t>
  </si>
  <si>
    <t xml:space="preserve">• Not included: ADC SFDR/spurs, MMIC IP3 limits, digital-chain quantisation.</t>
  </si>
  <si>
    <t xml:space="preserve">• Check the uDSR CIC output shift puts the noise floor several LSBs above 16-bit quantisation (as &gt;&gt;22 does on uDST).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</si>
</sst>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"/>
    <numFmt numFmtId="167" formatCode="0.00"/>
    <numFmt numFmtId="168" formatCode="#,##0"/>
    <numFmt numFmtId="169" formatCode="0.000"/>
    <numFmt numFmtId="170" formatCode="&quot;S9+&quot;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5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false" outlineLevel="0" collapsed="false">
      <c r="A6" s="6" t="s">
        <v>8</v>
      </c>
      <c r="B6" s="7" t="n">
        <v>20</v>
      </c>
      <c r="C6" s="7" t="n">
        <v>20</v>
      </c>
      <c r="D6" s="7" t="n">
        <v>20</v>
      </c>
      <c r="E6" s="2" t="s">
        <v>9</v>
      </c>
    </row>
    <row r="7" customFormat="false" ht="15" hidden="false" customHeight="false" outlineLevel="0" collapsed="false">
      <c r="A7" s="6" t="s">
        <v>10</v>
      </c>
      <c r="B7" s="7" t="n">
        <v>3.1</v>
      </c>
      <c r="C7" s="7" t="n">
        <v>3.1</v>
      </c>
      <c r="D7" s="7" t="n">
        <v>3.1</v>
      </c>
      <c r="E7" s="2" t="s">
        <v>9</v>
      </c>
    </row>
    <row r="8" customFormat="false" ht="15" hidden="false" customHeight="false" outlineLevel="0" collapsed="false">
      <c r="A8" s="6" t="s">
        <v>11</v>
      </c>
      <c r="B8" s="7" t="n">
        <v>6</v>
      </c>
      <c r="C8" s="7" t="n">
        <v>12</v>
      </c>
      <c r="D8" s="7" t="n">
        <v>6</v>
      </c>
      <c r="E8" s="2" t="s">
        <v>9</v>
      </c>
    </row>
    <row r="9" customFormat="false" ht="15" hidden="false" customHeight="false" outlineLevel="0" collapsed="false">
      <c r="A9" s="6" t="s">
        <v>12</v>
      </c>
      <c r="B9" s="7" t="n">
        <v>1</v>
      </c>
      <c r="C9" s="7" t="n">
        <v>1</v>
      </c>
      <c r="D9" s="7" t="n">
        <v>1</v>
      </c>
      <c r="E9" s="2" t="s">
        <v>9</v>
      </c>
    </row>
    <row r="10" customFormat="false" ht="15" hidden="false" customHeight="false" outlineLevel="0" collapsed="false">
      <c r="A10" s="6" t="s">
        <v>13</v>
      </c>
      <c r="B10" s="7" t="n">
        <v>0.5</v>
      </c>
      <c r="C10" s="7" t="n">
        <v>0.5</v>
      </c>
      <c r="D10" s="7" t="n">
        <v>0.5</v>
      </c>
      <c r="E10" s="2" t="s">
        <v>9</v>
      </c>
    </row>
    <row r="11" customFormat="false" ht="15" hidden="false" customHeight="false" outlineLevel="0" collapsed="false">
      <c r="A11" s="6" t="s">
        <v>14</v>
      </c>
      <c r="B11" s="8" t="n">
        <v>12</v>
      </c>
      <c r="C11" s="8" t="n">
        <v>10</v>
      </c>
      <c r="D11" s="8" t="n">
        <v>10</v>
      </c>
      <c r="E11" s="2" t="s">
        <v>15</v>
      </c>
    </row>
    <row r="12" customFormat="false" ht="15" hidden="false" customHeight="false" outlineLevel="0" collapsed="false">
      <c r="A12" s="6" t="s">
        <v>16</v>
      </c>
      <c r="B12" s="7" t="n">
        <v>70</v>
      </c>
      <c r="C12" s="7" t="n">
        <v>60</v>
      </c>
      <c r="D12" s="7" t="n">
        <v>60</v>
      </c>
      <c r="E12" s="2" t="s">
        <v>17</v>
      </c>
    </row>
    <row r="13" customFormat="false" ht="15" hidden="false" customHeight="false" outlineLevel="0" collapsed="false">
      <c r="A13" s="6" t="s">
        <v>18</v>
      </c>
      <c r="B13" s="9" t="n">
        <v>2</v>
      </c>
      <c r="C13" s="9" t="n">
        <v>1</v>
      </c>
      <c r="D13" s="9" t="n">
        <v>1</v>
      </c>
      <c r="E13" s="2" t="s">
        <v>19</v>
      </c>
    </row>
    <row r="14" customFormat="false" ht="15" hidden="false" customHeight="false" outlineLevel="0" collapsed="false">
      <c r="A14" s="6" t="s">
        <v>20</v>
      </c>
      <c r="B14" s="8" t="n">
        <v>80</v>
      </c>
      <c r="C14" s="8" t="n">
        <v>81</v>
      </c>
      <c r="D14" s="8" t="n">
        <v>81</v>
      </c>
      <c r="E14" s="2" t="s">
        <v>21</v>
      </c>
    </row>
    <row r="15" customFormat="false" ht="15" hidden="false" customHeight="false" outlineLevel="0" collapsed="false">
      <c r="A15" s="6" t="s">
        <v>22</v>
      </c>
      <c r="B15" s="8" t="n">
        <v>512</v>
      </c>
      <c r="C15" s="8" t="n">
        <v>432</v>
      </c>
      <c r="D15" s="8" t="n">
        <v>432</v>
      </c>
      <c r="E15" s="2"/>
    </row>
    <row r="16" customFormat="false" ht="15" hidden="false" customHeight="false" outlineLevel="0" collapsed="false">
      <c r="A16" s="6" t="s">
        <v>23</v>
      </c>
      <c r="B16" s="8" t="n">
        <v>5</v>
      </c>
      <c r="C16" s="8" t="n">
        <v>6</v>
      </c>
      <c r="D16" s="8" t="n">
        <v>6</v>
      </c>
      <c r="E16" s="2"/>
    </row>
    <row r="17" customFormat="false" ht="15" hidden="false" customHeight="false" outlineLevel="0" collapsed="false">
      <c r="A17" s="6" t="s">
        <v>24</v>
      </c>
      <c r="B17" s="8" t="n">
        <v>1024</v>
      </c>
      <c r="C17" s="8" t="n">
        <v>1024</v>
      </c>
      <c r="D17" s="8" t="n">
        <v>1024</v>
      </c>
      <c r="E17" s="2" t="s">
        <v>25</v>
      </c>
    </row>
    <row r="18" customFormat="false" ht="15" hidden="false" customHeight="false" outlineLevel="0" collapsed="false">
      <c r="A18" s="6" t="s">
        <v>26</v>
      </c>
      <c r="B18" s="8" t="n">
        <v>50</v>
      </c>
      <c r="C18" s="8" t="n">
        <v>50</v>
      </c>
      <c r="D18" s="8" t="n">
        <v>50</v>
      </c>
      <c r="E18" s="2" t="s">
        <v>27</v>
      </c>
    </row>
    <row r="19" customFormat="false" ht="15" hidden="false" customHeight="false" outlineLevel="0" collapsed="false">
      <c r="A19" s="6" t="s">
        <v>28</v>
      </c>
      <c r="B19" s="7" t="n">
        <v>-174</v>
      </c>
      <c r="C19" s="7" t="n">
        <v>-174</v>
      </c>
      <c r="D19" s="7" t="n">
        <v>-174</v>
      </c>
      <c r="E19" s="2" t="s">
        <v>29</v>
      </c>
    </row>
    <row r="20" customFormat="false" ht="15" hidden="false" customHeight="false" outlineLevel="0" collapsed="false">
      <c r="A20" s="6" t="s">
        <v>30</v>
      </c>
      <c r="B20" s="8" t="n">
        <v>-73</v>
      </c>
      <c r="C20" s="8" t="n">
        <v>-73</v>
      </c>
      <c r="D20" s="8" t="n">
        <v>-73</v>
      </c>
      <c r="E20" s="2" t="s">
        <v>31</v>
      </c>
    </row>
    <row r="22" customFormat="false" ht="15" hidden="false" customHeight="false" outlineLevel="0" collapsed="false">
      <c r="A22" s="3" t="s">
        <v>32</v>
      </c>
      <c r="B22" s="4"/>
      <c r="C22" s="4"/>
      <c r="D22" s="4"/>
      <c r="E22" s="4"/>
    </row>
    <row r="23" customFormat="false" ht="15" hidden="false" customHeight="false" outlineLevel="0" collapsed="false">
      <c r="A23" s="5" t="s">
        <v>3</v>
      </c>
      <c r="B23" s="5" t="s">
        <v>4</v>
      </c>
      <c r="C23" s="5" t="s">
        <v>5</v>
      </c>
      <c r="D23" s="5" t="s">
        <v>6</v>
      </c>
      <c r="E23" s="5" t="s">
        <v>7</v>
      </c>
    </row>
    <row r="24" customFormat="false" ht="15" hidden="false" customHeight="false" outlineLevel="0" collapsed="false">
      <c r="A24" s="6" t="s">
        <v>33</v>
      </c>
      <c r="B24" s="10" t="n">
        <f aca="false">B14*1000000/(B15*B16)</f>
        <v>31250</v>
      </c>
      <c r="C24" s="10" t="n">
        <f aca="false">C14*1000000/(C15*C16)</f>
        <v>31250</v>
      </c>
      <c r="D24" s="10" t="n">
        <f aca="false">D14*1000000/(D15*D16)</f>
        <v>31250</v>
      </c>
      <c r="E24" s="2" t="s">
        <v>34</v>
      </c>
    </row>
    <row r="25" customFormat="false" ht="15" hidden="false" customHeight="false" outlineLevel="0" collapsed="false">
      <c r="A25" s="6" t="s">
        <v>35</v>
      </c>
      <c r="B25" s="11" t="n">
        <f aca="false">B6+B8-B9-B10</f>
        <v>24.5</v>
      </c>
      <c r="C25" s="11" t="n">
        <f aca="false">C6+C8-C9-C10</f>
        <v>30.5</v>
      </c>
      <c r="D25" s="11" t="n">
        <f aca="false">D6+D8-D9-D10</f>
        <v>24.5</v>
      </c>
      <c r="E25" s="2" t="s">
        <v>9</v>
      </c>
    </row>
    <row r="26" customFormat="false" ht="15" hidden="false" customHeight="false" outlineLevel="0" collapsed="false">
      <c r="A26" s="6" t="s">
        <v>36</v>
      </c>
      <c r="B26" s="12" t="n">
        <f aca="false">B13/(2*SQRT(2))</f>
        <v>0.707106781186548</v>
      </c>
      <c r="C26" s="12" t="n">
        <f aca="false">C13/(2*SQRT(2))</f>
        <v>0.353553390593274</v>
      </c>
      <c r="D26" s="12" t="n">
        <f aca="false">D13/(2*SQRT(2))</f>
        <v>0.353553390593274</v>
      </c>
      <c r="E26" s="2" t="s">
        <v>37</v>
      </c>
    </row>
    <row r="27" customFormat="false" ht="15" hidden="false" customHeight="false" outlineLevel="0" collapsed="false">
      <c r="A27" s="6" t="s">
        <v>38</v>
      </c>
      <c r="B27" s="11" t="n">
        <f aca="false">10*LOG10(B26^2/B18*1000)</f>
        <v>10</v>
      </c>
      <c r="C27" s="11" t="n">
        <f aca="false">10*LOG10(C26^2/C18*1000)</f>
        <v>3.97940008672038</v>
      </c>
      <c r="D27" s="11" t="n">
        <f aca="false">10*LOG10(D26^2/D18*1000)</f>
        <v>3.97940008672038</v>
      </c>
      <c r="E27" s="2" t="s">
        <v>31</v>
      </c>
    </row>
    <row r="28" customFormat="false" ht="15" hidden="false" customHeight="false" outlineLevel="0" collapsed="false">
      <c r="A28" s="13" t="s">
        <v>39</v>
      </c>
      <c r="B28" s="14" t="n">
        <f aca="false">B27-B25</f>
        <v>-14.5</v>
      </c>
      <c r="C28" s="14" t="n">
        <f aca="false">C27-C25</f>
        <v>-26.5205999132796</v>
      </c>
      <c r="D28" s="14" t="n">
        <f aca="false">D27-D25</f>
        <v>-20.5205999132796</v>
      </c>
      <c r="E28" s="2" t="s">
        <v>31</v>
      </c>
    </row>
    <row r="29" customFormat="false" ht="15" hidden="false" customHeight="false" outlineLevel="0" collapsed="false">
      <c r="A29" s="6" t="s">
        <v>40</v>
      </c>
      <c r="B29" s="15" t="n">
        <f aca="false">B28-B20</f>
        <v>58.5</v>
      </c>
      <c r="C29" s="15" t="n">
        <f aca="false">C28-C20</f>
        <v>46.4794000867204</v>
      </c>
      <c r="D29" s="15" t="n">
        <f aca="false">D28-D20</f>
        <v>52.4794000867204</v>
      </c>
      <c r="E29" s="2" t="s">
        <v>41</v>
      </c>
    </row>
    <row r="30" customFormat="false" ht="15" hidden="false" customHeight="false" outlineLevel="0" collapsed="false">
      <c r="A30" s="6" t="s">
        <v>42</v>
      </c>
      <c r="B30" s="10" t="n">
        <f aca="false">B14*1000000/2</f>
        <v>40000000</v>
      </c>
      <c r="C30" s="10" t="n">
        <f aca="false">C14*1000000/2</f>
        <v>40500000</v>
      </c>
      <c r="D30" s="10" t="n">
        <f aca="false">D14*1000000/2</f>
        <v>40500000</v>
      </c>
      <c r="E30" s="2" t="s">
        <v>34</v>
      </c>
    </row>
    <row r="31" customFormat="false" ht="15" hidden="false" customHeight="false" outlineLevel="0" collapsed="false">
      <c r="A31" s="6" t="s">
        <v>43</v>
      </c>
      <c r="B31" s="11" t="n">
        <f aca="false">-B12-10*LOG10(B30)</f>
        <v>-146.02059991328</v>
      </c>
      <c r="C31" s="11" t="n">
        <f aca="false">-C12-10*LOG10(C30)</f>
        <v>-136.074550232147</v>
      </c>
      <c r="D31" s="11" t="n">
        <f aca="false">-D12-10*LOG10(D30)</f>
        <v>-136.074550232147</v>
      </c>
      <c r="E31" s="2" t="s">
        <v>44</v>
      </c>
    </row>
    <row r="32" customFormat="false" ht="15" hidden="false" customHeight="false" outlineLevel="0" collapsed="false">
      <c r="A32" s="6" t="s">
        <v>45</v>
      </c>
      <c r="B32" s="11" t="n">
        <f aca="false">B27+B31</f>
        <v>-136.02059991328</v>
      </c>
      <c r="C32" s="11" t="n">
        <f aca="false">C27+C31</f>
        <v>-132.095150145426</v>
      </c>
      <c r="D32" s="11" t="n">
        <f aca="false">D27+D31</f>
        <v>-132.095150145426</v>
      </c>
      <c r="E32" s="2" t="s">
        <v>29</v>
      </c>
    </row>
    <row r="33" customFormat="false" ht="15" hidden="false" customHeight="false" outlineLevel="0" collapsed="false">
      <c r="A33" s="6" t="s">
        <v>46</v>
      </c>
      <c r="B33" s="11" t="n">
        <f aca="false">B9+B7</f>
        <v>4.1</v>
      </c>
      <c r="C33" s="11" t="n">
        <f aca="false">C9+C7</f>
        <v>4.1</v>
      </c>
      <c r="D33" s="11" t="n">
        <f aca="false">D9+D7</f>
        <v>4.1</v>
      </c>
      <c r="E33" s="2" t="s">
        <v>9</v>
      </c>
    </row>
    <row r="34" customFormat="false" ht="15" hidden="false" customHeight="false" outlineLevel="0" collapsed="false">
      <c r="A34" s="6" t="s">
        <v>47</v>
      </c>
      <c r="B34" s="11" t="n">
        <f aca="false">B19+B33+B25</f>
        <v>-145.4</v>
      </c>
      <c r="C34" s="11" t="n">
        <f aca="false">C19+C33+C25</f>
        <v>-139.4</v>
      </c>
      <c r="D34" s="11" t="n">
        <f aca="false">D19+D33+D25</f>
        <v>-145.4</v>
      </c>
      <c r="E34" s="2" t="s">
        <v>29</v>
      </c>
    </row>
    <row r="35" customFormat="false" ht="15" hidden="false" customHeight="false" outlineLevel="0" collapsed="false">
      <c r="A35" s="6" t="s">
        <v>48</v>
      </c>
      <c r="B35" s="11" t="n">
        <f aca="false">B32-B34</f>
        <v>9.37940008672038</v>
      </c>
      <c r="C35" s="11" t="n">
        <f aca="false">C32-C34</f>
        <v>7.30484985457369</v>
      </c>
      <c r="D35" s="11" t="n">
        <f aca="false">D32-D34</f>
        <v>13.3048498545737</v>
      </c>
      <c r="E35" s="2" t="s">
        <v>9</v>
      </c>
    </row>
    <row r="36" customFormat="false" ht="15" hidden="false" customHeight="false" outlineLevel="0" collapsed="false">
      <c r="A36" s="6" t="s">
        <v>49</v>
      </c>
      <c r="B36" s="11" t="n">
        <f aca="false">10*LOG10(10^(B32/10)+10^(B34/10))</f>
        <v>-135.546444352733</v>
      </c>
      <c r="C36" s="11" t="n">
        <f aca="false">10*LOG10(10^(C32/10)+10^(C34/10))</f>
        <v>-131.354300008254</v>
      </c>
      <c r="D36" s="11" t="n">
        <f aca="false">10*LOG10(10^(D32/10)+10^(D34/10))</f>
        <v>-131.896839484206</v>
      </c>
      <c r="E36" s="2" t="s">
        <v>29</v>
      </c>
    </row>
    <row r="37" customFormat="false" ht="15" hidden="false" customHeight="false" outlineLevel="0" collapsed="false">
      <c r="A37" s="6" t="s">
        <v>50</v>
      </c>
      <c r="B37" s="11" t="n">
        <f aca="false">B36-B25</f>
        <v>-160.046444352733</v>
      </c>
      <c r="C37" s="11" t="n">
        <f aca="false">C36-C25</f>
        <v>-161.854300008254</v>
      </c>
      <c r="D37" s="11" t="n">
        <f aca="false">D36-D25</f>
        <v>-156.396839484206</v>
      </c>
      <c r="E37" s="2" t="s">
        <v>29</v>
      </c>
    </row>
    <row r="38" customFormat="false" ht="15" hidden="false" customHeight="false" outlineLevel="0" collapsed="false">
      <c r="A38" s="13" t="s">
        <v>51</v>
      </c>
      <c r="B38" s="14" t="n">
        <f aca="false">B37-B19</f>
        <v>13.9535556472673</v>
      </c>
      <c r="C38" s="14" t="n">
        <f aca="false">C37-C19</f>
        <v>12.1456999917463</v>
      </c>
      <c r="D38" s="14" t="n">
        <f aca="false">D37-D19</f>
        <v>17.6031605157936</v>
      </c>
      <c r="E38" s="2" t="s">
        <v>9</v>
      </c>
    </row>
    <row r="40" customFormat="false" ht="15" hidden="false" customHeight="false" outlineLevel="0" collapsed="false">
      <c r="A40" s="3" t="s">
        <v>52</v>
      </c>
      <c r="B40" s="4"/>
      <c r="C40" s="4"/>
      <c r="D40" s="4"/>
      <c r="E40" s="4"/>
    </row>
    <row r="41" customFormat="false" ht="15" hidden="false" customHeight="false" outlineLevel="0" collapsed="false">
      <c r="A41" s="5" t="s">
        <v>3</v>
      </c>
      <c r="B41" s="5" t="s">
        <v>4</v>
      </c>
      <c r="C41" s="5" t="s">
        <v>5</v>
      </c>
      <c r="D41" s="5" t="s">
        <v>6</v>
      </c>
      <c r="E41" s="5" t="s">
        <v>53</v>
      </c>
    </row>
    <row r="42" customFormat="false" ht="15" hidden="false" customHeight="false" outlineLevel="0" collapsed="false">
      <c r="A42" s="6" t="s">
        <v>54</v>
      </c>
      <c r="B42" s="11" t="n">
        <f aca="false">B37+10*LOG10(1)</f>
        <v>-160.046444352733</v>
      </c>
      <c r="C42" s="11" t="n">
        <f aca="false">C37+10*LOG10(1)</f>
        <v>-161.854300008254</v>
      </c>
      <c r="D42" s="11" t="n">
        <f aca="false">D37+10*LOG10(1)</f>
        <v>-156.396839484206</v>
      </c>
      <c r="E42" s="2" t="s">
        <v>31</v>
      </c>
    </row>
    <row r="43" customFormat="false" ht="15" hidden="false" customHeight="false" outlineLevel="0" collapsed="false">
      <c r="A43" s="6" t="s">
        <v>55</v>
      </c>
      <c r="B43" s="11" t="n">
        <f aca="false">B37+10*LOG10(B24/B17)</f>
        <v>-145.20094370233</v>
      </c>
      <c r="C43" s="11" t="n">
        <f aca="false">C37+10*LOG10(C24/C17)</f>
        <v>-147.008799357851</v>
      </c>
      <c r="D43" s="11" t="n">
        <f aca="false">D37+10*LOG10(D24/D17)</f>
        <v>-141.551338833804</v>
      </c>
      <c r="E43" s="2" t="s">
        <v>31</v>
      </c>
    </row>
    <row r="44" customFormat="false" ht="15" hidden="false" customHeight="false" outlineLevel="0" collapsed="false">
      <c r="A44" s="6" t="s">
        <v>56</v>
      </c>
      <c r="B44" s="11" t="n">
        <f aca="false">B37+10*LOG10(500)</f>
        <v>-133.056744309373</v>
      </c>
      <c r="C44" s="11" t="n">
        <f aca="false">C37+10*LOG10(500)</f>
        <v>-134.864599964894</v>
      </c>
      <c r="D44" s="11" t="n">
        <f aca="false">D37+10*LOG10(500)</f>
        <v>-129.407139440846</v>
      </c>
      <c r="E44" s="2" t="s">
        <v>31</v>
      </c>
    </row>
    <row r="45" customFormat="false" ht="15" hidden="false" customHeight="false" outlineLevel="0" collapsed="false">
      <c r="A45" s="13" t="s">
        <v>57</v>
      </c>
      <c r="B45" s="14" t="n">
        <f aca="false">B37+10*LOG10(2400)</f>
        <v>-126.244331935617</v>
      </c>
      <c r="C45" s="14" t="n">
        <f aca="false">C37+10*LOG10(2400)</f>
        <v>-128.052187591138</v>
      </c>
      <c r="D45" s="14" t="n">
        <f aca="false">D37+10*LOG10(2400)</f>
        <v>-122.59472706709</v>
      </c>
      <c r="E45" s="2" t="s">
        <v>31</v>
      </c>
    </row>
    <row r="46" customFormat="false" ht="15" hidden="false" customHeight="false" outlineLevel="0" collapsed="false">
      <c r="A46" s="6" t="s">
        <v>58</v>
      </c>
      <c r="B46" s="12" t="n">
        <f aca="false">SQRT(10^(B45/10)/1000*B18)*1000000</f>
        <v>0.108960328871311</v>
      </c>
      <c r="C46" s="12" t="n">
        <f aca="false">SQRT(10^(C45/10)/1000*C18)*1000000</f>
        <v>0.0884862158289505</v>
      </c>
      <c r="D46" s="12" t="n">
        <f aca="false">SQRT(10^(D45/10)/1000*D18)*1000000</f>
        <v>0.165862668697021</v>
      </c>
      <c r="E46" s="2" t="s">
        <v>59</v>
      </c>
    </row>
    <row r="47" customFormat="false" ht="15" hidden="false" customHeight="false" outlineLevel="0" collapsed="false">
      <c r="A47" s="6" t="s">
        <v>60</v>
      </c>
      <c r="B47" s="16" t="n">
        <f aca="false">SQRT(10^((B45+10)/10)/1000*B18)*1000000</f>
        <v>0.344562813834346</v>
      </c>
      <c r="C47" s="16" t="n">
        <f aca="false">SQRT(10^((C45+10)/10)/1000*C18)*1000000</f>
        <v>0.279817983548728</v>
      </c>
      <c r="D47" s="16" t="n">
        <f aca="false">SQRT(10^((D45+10)/10)/1000*D18)*1000000</f>
        <v>0.5245038118765</v>
      </c>
      <c r="E47" s="2" t="s">
        <v>59</v>
      </c>
    </row>
    <row r="49" customFormat="false" ht="15" hidden="false" customHeight="false" outlineLevel="0" collapsed="false">
      <c r="A49" s="3" t="s">
        <v>61</v>
      </c>
      <c r="B49" s="4"/>
      <c r="C49" s="4"/>
      <c r="D49" s="4"/>
      <c r="E49" s="4"/>
    </row>
    <row r="50" customFormat="false" ht="15" hidden="false" customHeight="false" outlineLevel="0" collapsed="false">
      <c r="A50" s="5" t="s">
        <v>3</v>
      </c>
      <c r="B50" s="5" t="s">
        <v>4</v>
      </c>
      <c r="C50" s="5" t="s">
        <v>5</v>
      </c>
      <c r="D50" s="5" t="s">
        <v>6</v>
      </c>
      <c r="E50" s="5" t="s">
        <v>7</v>
      </c>
    </row>
    <row r="51" customFormat="false" ht="15" hidden="false" customHeight="false" outlineLevel="0" collapsed="false">
      <c r="A51" s="6" t="s">
        <v>62</v>
      </c>
      <c r="B51" s="11" t="n">
        <f aca="false">B28-B42</f>
        <v>145.546444352733</v>
      </c>
      <c r="C51" s="11" t="n">
        <f aca="false">C28-C42</f>
        <v>135.333700094974</v>
      </c>
      <c r="D51" s="11" t="n">
        <f aca="false">D28-D42</f>
        <v>135.876239570927</v>
      </c>
      <c r="E51" s="2" t="s">
        <v>9</v>
      </c>
    </row>
    <row r="52" customFormat="false" ht="15" hidden="false" customHeight="false" outlineLevel="0" collapsed="false">
      <c r="A52" s="6" t="s">
        <v>63</v>
      </c>
      <c r="B52" s="11" t="n">
        <f aca="false">B28-B43</f>
        <v>130.70094370233</v>
      </c>
      <c r="C52" s="11" t="n">
        <f aca="false">C28-C43</f>
        <v>120.488199444571</v>
      </c>
      <c r="D52" s="11" t="n">
        <f aca="false">D28-D43</f>
        <v>121.030738920524</v>
      </c>
      <c r="E52" s="2" t="s">
        <v>9</v>
      </c>
    </row>
    <row r="53" customFormat="false" ht="15" hidden="false" customHeight="false" outlineLevel="0" collapsed="false">
      <c r="A53" s="6" t="s">
        <v>64</v>
      </c>
      <c r="B53" s="11" t="n">
        <f aca="false">B28-B44</f>
        <v>118.556744309373</v>
      </c>
      <c r="C53" s="11" t="n">
        <f aca="false">C28-C44</f>
        <v>108.344000051614</v>
      </c>
      <c r="D53" s="11" t="n">
        <f aca="false">D28-D44</f>
        <v>108.886539527567</v>
      </c>
      <c r="E53" s="2" t="s">
        <v>9</v>
      </c>
    </row>
    <row r="54" customFormat="false" ht="15" hidden="false" customHeight="false" outlineLevel="0" collapsed="false">
      <c r="A54" s="13" t="s">
        <v>65</v>
      </c>
      <c r="B54" s="14" t="n">
        <f aca="false">B28-B45</f>
        <v>111.744331935617</v>
      </c>
      <c r="C54" s="14" t="n">
        <f aca="false">C28-C45</f>
        <v>101.531587677858</v>
      </c>
      <c r="D54" s="14" t="n">
        <f aca="false">D28-D45</f>
        <v>102.074127153811</v>
      </c>
      <c r="E54" s="2" t="s">
        <v>9</v>
      </c>
    </row>
    <row r="56" customFormat="false" ht="15" hidden="false" customHeight="false" outlineLevel="0" collapsed="false">
      <c r="A56" s="3" t="s">
        <v>66</v>
      </c>
      <c r="B56" s="4"/>
      <c r="C56" s="4"/>
      <c r="D56" s="4"/>
      <c r="E56" s="4"/>
    </row>
    <row r="57" customFormat="false" ht="15" hidden="false" customHeight="false" outlineLevel="0" collapsed="false">
      <c r="A57" s="5" t="s">
        <v>3</v>
      </c>
      <c r="B57" s="5" t="s">
        <v>4</v>
      </c>
      <c r="C57" s="5" t="s">
        <v>5</v>
      </c>
      <c r="D57" s="5" t="s">
        <v>6</v>
      </c>
      <c r="E57" s="5" t="s">
        <v>7</v>
      </c>
    </row>
    <row r="58" customFormat="false" ht="15" hidden="false" customHeight="false" outlineLevel="0" collapsed="false">
      <c r="A58" s="6" t="s">
        <v>67</v>
      </c>
      <c r="B58" s="7" t="n">
        <v>18.7</v>
      </c>
      <c r="C58" s="7" t="n">
        <v>18.7</v>
      </c>
      <c r="D58" s="7" t="n">
        <v>18.7</v>
      </c>
      <c r="E58" s="2" t="s">
        <v>9</v>
      </c>
    </row>
    <row r="59" customFormat="false" ht="15" hidden="false" customHeight="false" outlineLevel="0" collapsed="false">
      <c r="A59" s="6" t="s">
        <v>68</v>
      </c>
      <c r="B59" s="11" t="n">
        <f aca="false">B58-B38</f>
        <v>4.74644435273275</v>
      </c>
      <c r="C59" s="11" t="n">
        <f aca="false">C58-C38</f>
        <v>6.55430000825374</v>
      </c>
      <c r="D59" s="11" t="n">
        <f aca="false">D58-D38</f>
        <v>1.0968394842064</v>
      </c>
      <c r="E59" s="2" t="s">
        <v>9</v>
      </c>
    </row>
    <row r="60" customFormat="false" ht="15" hidden="false" customHeight="false" outlineLevel="0" collapsed="false">
      <c r="A60" s="6" t="s">
        <v>69</v>
      </c>
      <c r="B60" s="11" t="n">
        <f aca="false">10*LOG10(1+10^(-B59/10))</f>
        <v>1.25559266995504</v>
      </c>
      <c r="C60" s="11" t="n">
        <f aca="false">10*LOG10(1+10^(-C59/10))</f>
        <v>0.867478375041079</v>
      </c>
      <c r="D60" s="11" t="n">
        <f aca="false">10*LOG10(1+10^(-D59/10))</f>
        <v>2.49641533610251</v>
      </c>
      <c r="E60" s="2" t="s">
        <v>9</v>
      </c>
    </row>
    <row r="62" customFormat="false" ht="15" hidden="false" customHeight="false" outlineLevel="0" collapsed="false">
      <c r="A62" s="13" t="s">
        <v>70</v>
      </c>
    </row>
    <row r="63" customFormat="false" ht="15" hidden="false" customHeight="false" outlineLevel="0" collapsed="false">
      <c r="A63" s="6" t="s">
        <v>71</v>
      </c>
    </row>
    <row r="64" customFormat="false" ht="15" hidden="false" customHeight="false" outlineLevel="0" collapsed="false">
      <c r="A64" s="6" t="s">
        <v>72</v>
      </c>
    </row>
    <row r="65" customFormat="false" ht="15" hidden="false" customHeight="false" outlineLevel="0" collapsed="false">
      <c r="A65" s="6" t="s">
        <v>73</v>
      </c>
    </row>
    <row r="66" customFormat="false" ht="15" hidden="false" customHeight="false" outlineLevel="0" collapsed="false">
      <c r="A66" s="6" t="s">
        <v>74</v>
      </c>
    </row>
    <row r="67" customFormat="false" ht="15" hidden="false" customHeight="false" outlineLevel="0" collapsed="false">
      <c r="A67" s="6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2026-10-14T00:42:43Z</dcterms:created>
  <dc:creator>openpyxl</dc:creator>
  <dc:description/>
  <dc:language>en-US</dc:language>
  <cp:lastModifiedBy/>
  <dcterms:modified xsi:type="dcterms:W3CDTF">2026-10-14T00:42:43Z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